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avila\Downloads\"/>
    </mc:Choice>
  </mc:AlternateContent>
  <xr:revisionPtr revIDLastSave="0" documentId="13_ncr:1_{6F61A2D8-166D-488E-8038-DB92F3D0F169}" xr6:coauthVersionLast="47" xr6:coauthVersionMax="47" xr10:uidLastSave="{00000000-0000-0000-0000-000000000000}"/>
  <bookViews>
    <workbookView xWindow="-120" yWindow="-120" windowWidth="29040" windowHeight="15720" xr2:uid="{00000000-000D-0000-FFFF-FFFF00000000}"/>
  </bookViews>
  <sheets>
    <sheet name="FINIQUITOS" sheetId="27" r:id="rId1"/>
  </sheets>
  <definedNames>
    <definedName name="Calendar_Year">#REF!</definedName>
    <definedName name="ColumnTitleRegion..AC22.1">#REF!</definedName>
    <definedName name="lstEDates">#REF!</definedName>
    <definedName name="lstEmployees">#REF!</definedName>
    <definedName name="lstEmpNames">#REF!</definedName>
    <definedName name="lstHolidays">#REF!</definedName>
    <definedName name="lstHolidayTypes">#REF!</definedName>
    <definedName name="lstHTypes">#REF!</definedName>
    <definedName name="lstSdates">#REF!</definedName>
    <definedName name="_xlnm.Print_Area" localSheetId="0">FINIQUITOS!$A$4:$H$55</definedName>
    <definedName name="Título1">#REF!</definedName>
    <definedName name="Título2">#REF!</definedName>
    <definedName name="TítuloDeColumna3">#REF!</definedName>
    <definedName name="TítuloDeColumna4">#REF!</definedName>
    <definedName name="TítuloDeColumna5">#REF!</definedName>
    <definedName name="valSelEmployee">#REF!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8" i="27" l="1"/>
  <c r="C20" i="27" l="1"/>
  <c r="F21" i="27" s="1"/>
  <c r="C19" i="27"/>
  <c r="G27" i="27" s="1"/>
  <c r="G28" i="27" s="1"/>
  <c r="C7" i="27"/>
  <c r="G21" i="27" l="1"/>
  <c r="G22" i="27" l="1"/>
  <c r="G23" i="27" s="1"/>
  <c r="F29" i="27" s="1"/>
  <c r="G29" i="27" s="1"/>
  <c r="F22" i="27"/>
  <c r="F23" i="27" s="1"/>
  <c r="C23" i="27"/>
  <c r="C47" i="27"/>
  <c r="F30" i="27" l="1"/>
  <c r="F31" i="27" l="1"/>
  <c r="G30" i="27"/>
  <c r="G31" i="27" s="1"/>
  <c r="G36" i="27"/>
  <c r="G35" i="27" s="1"/>
  <c r="C13" i="27" l="1"/>
</calcChain>
</file>

<file path=xl/sharedStrings.xml><?xml version="1.0" encoding="utf-8"?>
<sst xmlns="http://schemas.openxmlformats.org/spreadsheetml/2006/main" count="28" uniqueCount="27">
  <si>
    <t>SUELDO</t>
  </si>
  <si>
    <t>TOTAL</t>
  </si>
  <si>
    <t>AGUINALDO PROP</t>
  </si>
  <si>
    <t>IMPORTE</t>
  </si>
  <si>
    <t>BAJA</t>
  </si>
  <si>
    <t>LA CANTIDAD DE:</t>
  </si>
  <si>
    <t>INGRESO</t>
  </si>
  <si>
    <t>ANTIGÜEDAD</t>
  </si>
  <si>
    <t>DÍAS</t>
  </si>
  <si>
    <t>SÉPTIMO DÍA</t>
  </si>
  <si>
    <t>PRIMA VACACIONAL</t>
  </si>
  <si>
    <t>VACACIONES EN CURSO</t>
  </si>
  <si>
    <t xml:space="preserve">YO : </t>
  </si>
  <si>
    <t>POR CONCEPTO DE FINIQUITO, CON MOTIVO DE LA TERMINACION LABORAL POR ASÍ CONVENIR</t>
  </si>
  <si>
    <t>A MIS INTERESES CON FEHCA DE:</t>
  </si>
  <si>
    <t>S.D.I.</t>
  </si>
  <si>
    <t>AGUINALDO</t>
  </si>
  <si>
    <t>ASÍ MISMO MANIFIESTO QUE HASTA EL MOMENTO NO SE ME ADEUDA CANTIDAD ALGUNA POR NINGÚN CONCEPTO DERIVADO DE LA RELACIÓN LABORAL QUE SOSTUVE CON LA EMPRESA, POR LO QUE OTORGO EL MÁS AMPLIO FINIQUITO QUE EN DERECHO PROCEDA, LIBERANDO A LA EMPRESA DE CUALQUIER RESPONSABILIDAD PRESENTE O FUTURA.</t>
  </si>
  <si>
    <r>
      <t xml:space="preserve">DECLARO HABER PRESTADO MIS SERVICIOS PERSONALES A LA EMPRESA </t>
    </r>
    <r>
      <rPr>
        <b/>
        <sz val="10"/>
        <rFont val="Arial"/>
        <family val="2"/>
      </rPr>
      <t xml:space="preserve">ESPACIOS Y EDIFICACIONES ESCALANTE, </t>
    </r>
    <r>
      <rPr>
        <sz val="10"/>
        <rFont val="Arial"/>
        <family val="2"/>
      </rPr>
      <t xml:space="preserve"> CON DOMICILIO EN BLVD. DE LAS AMERICAS #3565-40, COLONIA 20 E NOVIEMBRE, TIJUANA BAJA CALIFORNIA. RECIBIENDO DE LA EMPRESA:</t>
    </r>
  </si>
  <si>
    <t>HUELLA</t>
  </si>
  <si>
    <t>VACIONES DISPONIBLES</t>
  </si>
  <si>
    <t>PERCEPCION</t>
  </si>
  <si>
    <t>GRATIFICACION</t>
  </si>
  <si>
    <t>CREDITO INFONAVIT</t>
  </si>
  <si>
    <t>TIJUANA, BAJA CALIFORNIA A; 08 DE JUNIO DEL 2026</t>
  </si>
  <si>
    <t>08 DE JUNIO DEL 2026</t>
  </si>
  <si>
    <t>DOS MIL CINCO PESOS CON 11/100 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</si>
</sst>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00_-;\-&quot;$&quot;* #,##0.00_-;_-&quot;$&quot;* &quot;-&quot;??_-;_-@_-"/>
    <numFmt numFmtId="165" formatCode="_-* #,##0.00_-;\-* #,##0.00_-;_-* &quot;-&quot;??_-;_-@_-"/>
    <numFmt numFmtId="166" formatCode="_-* #,##0_-;\-* #,##0_-;_-* &quot;-&quot;??_-;_-@_-"/>
  </numFmts>
  <fonts count="15"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0"/>
      <name val="Arial"/>
      <family val="2"/>
    </font>
    <font>
      <sz val="10"/>
      <name val="Arial"/>
      <family val="2"/>
    </font>
    <font>
      <sz val="10"/>
      <name val="Arial"/>
      <family val="2"/>
    </font>
    <font>
      <sz val="10"/>
      <name val="Arial"/>
      <family val="2"/>
    </font>
    <font>
      <sz val="8"/>
      <name val="Arial"/>
      <family val="2"/>
    </font>
    <font>
      <b/>
      <sz val="8"/>
      <name val="Arial"/>
      <family val="2"/>
    </font>
    <font>
      <sz val="8"/>
      <color theme="0" tint="-0.499984740745262"/>
      <name val="Arial"/>
      <family val="2"/>
    </font>
    <font>
      <sz val="10"/>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dashed">
        <color indexed="64"/>
      </bottom>
      <diagonal/>
    </border>
    <border>
      <left/>
      <right/>
      <top/>
      <bottom style="dashed">
        <color indexed="64"/>
      </bottom>
      <diagonal/>
    </border>
    <border>
      <left/>
      <right style="thin">
        <color indexed="64"/>
      </right>
      <top style="dashed">
        <color indexed="64"/>
      </top>
      <bottom style="dashed">
        <color indexed="64"/>
      </bottom>
      <diagonal/>
    </border>
    <border>
      <left/>
      <right/>
      <top style="dashed">
        <color indexed="64"/>
      </top>
      <bottom style="dashed">
        <color indexed="64"/>
      </bottom>
      <diagonal/>
    </border>
    <border>
      <left/>
      <right style="thin">
        <color indexed="64"/>
      </right>
      <top style="thin">
        <color indexed="64"/>
      </top>
      <bottom style="dashed">
        <color indexed="64"/>
      </bottom>
      <diagonal/>
    </border>
    <border>
      <left/>
      <right style="thin">
        <color indexed="64"/>
      </right>
      <top style="dashed">
        <color indexed="64"/>
      </top>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style="thin">
        <color indexed="64"/>
      </top>
      <bottom style="double">
        <color indexed="64"/>
      </bottom>
      <diagonal/>
    </border>
  </borders>
  <cellStyleXfs count="15">
    <xf numFmtId="0" fontId="0" fillId="0" borderId="0"/>
    <xf numFmtId="164" fontId="9" fillId="0" borderId="0" applyFont="0" applyFill="0" applyBorder="0" applyAlignment="0" applyProtection="0"/>
    <xf numFmtId="165" fontId="10" fillId="0" borderId="0" applyFont="0" applyFill="0" applyBorder="0" applyAlignment="0" applyProtection="0"/>
    <xf numFmtId="0" fontId="8" fillId="0" borderId="0"/>
    <xf numFmtId="165" fontId="8" fillId="0" borderId="0" applyFont="0" applyFill="0" applyBorder="0" applyAlignment="0" applyProtection="0"/>
    <xf numFmtId="164" fontId="8" fillId="0" borderId="0" applyFont="0" applyFill="0" applyBorder="0" applyAlignment="0" applyProtection="0"/>
    <xf numFmtId="0" fontId="8" fillId="0" borderId="0"/>
    <xf numFmtId="0" fontId="14" fillId="0" borderId="0"/>
    <xf numFmtId="44" fontId="14" fillId="0" borderId="0" applyFont="0" applyFill="0" applyBorder="0" applyAlignment="0" applyProtection="0"/>
    <xf numFmtId="0" fontId="6" fillId="0" borderId="0"/>
    <xf numFmtId="0" fontId="5" fillId="0" borderId="0"/>
    <xf numFmtId="0" fontId="4" fillId="0" borderId="0"/>
    <xf numFmtId="0" fontId="3" fillId="0" borderId="0"/>
    <xf numFmtId="0" fontId="2" fillId="0" borderId="0"/>
    <xf numFmtId="0" fontId="1" fillId="0" borderId="0"/>
  </cellStyleXfs>
  <cellXfs count="71">
    <xf numFmtId="0" fontId="0" fillId="0" borderId="0" xfId="0"/>
    <xf numFmtId="0" fontId="8" fillId="0" borderId="0" xfId="3"/>
    <xf numFmtId="0" fontId="8" fillId="0" borderId="0" xfId="3" applyAlignment="1">
      <alignment horizontal="center"/>
    </xf>
    <xf numFmtId="0" fontId="8" fillId="0" borderId="0" xfId="3" applyAlignment="1">
      <alignment horizontal="left"/>
    </xf>
    <xf numFmtId="0" fontId="7" fillId="0" borderId="0" xfId="3" applyFont="1"/>
    <xf numFmtId="0" fontId="8" fillId="0" borderId="0" xfId="3" applyAlignment="1">
      <alignment horizontal="right"/>
    </xf>
    <xf numFmtId="164" fontId="0" fillId="0" borderId="0" xfId="5" applyFont="1"/>
    <xf numFmtId="0" fontId="11" fillId="0" borderId="0" xfId="3" applyFont="1"/>
    <xf numFmtId="0" fontId="8" fillId="0" borderId="3" xfId="3" applyBorder="1"/>
    <xf numFmtId="0" fontId="8" fillId="0" borderId="6" xfId="3" applyBorder="1"/>
    <xf numFmtId="0" fontId="8" fillId="0" borderId="4" xfId="3" applyBorder="1"/>
    <xf numFmtId="164" fontId="8" fillId="0" borderId="0" xfId="3" applyNumberFormat="1"/>
    <xf numFmtId="1" fontId="8" fillId="0" borderId="0" xfId="3" applyNumberFormat="1"/>
    <xf numFmtId="0" fontId="11" fillId="0" borderId="0" xfId="3" applyFont="1" applyAlignment="1">
      <alignment horizontal="center"/>
    </xf>
    <xf numFmtId="0" fontId="11" fillId="0" borderId="0" xfId="3" applyFont="1" applyAlignment="1">
      <alignment horizontal="right"/>
    </xf>
    <xf numFmtId="166" fontId="11" fillId="0" borderId="0" xfId="2" applyNumberFormat="1" applyFont="1"/>
    <xf numFmtId="2" fontId="8" fillId="0" borderId="0" xfId="3" applyNumberFormat="1"/>
    <xf numFmtId="164" fontId="8" fillId="0" borderId="0" xfId="1" applyFont="1"/>
    <xf numFmtId="2" fontId="11" fillId="0" borderId="0" xfId="3" applyNumberFormat="1" applyFont="1"/>
    <xf numFmtId="164" fontId="7" fillId="2" borderId="0" xfId="3" applyNumberFormat="1" applyFont="1" applyFill="1"/>
    <xf numFmtId="164" fontId="8" fillId="2" borderId="0" xfId="3" applyNumberFormat="1" applyFill="1"/>
    <xf numFmtId="2" fontId="7" fillId="0" borderId="0" xfId="3" applyNumberFormat="1" applyFont="1"/>
    <xf numFmtId="16" fontId="8" fillId="0" borderId="0" xfId="3" applyNumberFormat="1"/>
    <xf numFmtId="166" fontId="11" fillId="0" borderId="0" xfId="2" applyNumberFormat="1" applyFont="1" applyAlignment="1">
      <alignment horizontal="right"/>
    </xf>
    <xf numFmtId="14" fontId="8" fillId="3" borderId="0" xfId="3" applyNumberFormat="1" applyFill="1"/>
    <xf numFmtId="14" fontId="7" fillId="3" borderId="0" xfId="0" applyNumberFormat="1" applyFont="1" applyFill="1" applyAlignment="1">
      <alignment horizontal="center" vertical="center" wrapText="1"/>
    </xf>
    <xf numFmtId="0" fontId="8" fillId="3" borderId="1" xfId="3" applyFill="1" applyBorder="1"/>
    <xf numFmtId="0" fontId="8" fillId="3" borderId="0" xfId="3" applyFill="1"/>
    <xf numFmtId="0" fontId="8" fillId="0" borderId="0" xfId="3" applyAlignment="1">
      <alignment wrapText="1"/>
    </xf>
    <xf numFmtId="1" fontId="11" fillId="0" borderId="2" xfId="2" applyNumberFormat="1" applyFont="1" applyBorder="1"/>
    <xf numFmtId="2" fontId="11" fillId="0" borderId="2" xfId="3" applyNumberFormat="1" applyFont="1" applyBorder="1"/>
    <xf numFmtId="0" fontId="8" fillId="0" borderId="2" xfId="3" applyBorder="1"/>
    <xf numFmtId="164" fontId="8" fillId="2" borderId="2" xfId="5" applyFont="1" applyFill="1" applyBorder="1"/>
    <xf numFmtId="164" fontId="8" fillId="0" borderId="2" xfId="1" applyFont="1" applyBorder="1"/>
    <xf numFmtId="0" fontId="7" fillId="0" borderId="2" xfId="3" applyFont="1" applyBorder="1"/>
    <xf numFmtId="0" fontId="7" fillId="0" borderId="2" xfId="3" applyFont="1" applyBorder="1" applyAlignment="1">
      <alignment horizontal="left"/>
    </xf>
    <xf numFmtId="14" fontId="8" fillId="0" borderId="2" xfId="0" applyNumberFormat="1" applyFont="1" applyBorder="1" applyAlignment="1">
      <alignment horizontal="center" vertical="center" wrapText="1"/>
    </xf>
    <xf numFmtId="1" fontId="8" fillId="0" borderId="2" xfId="3" applyNumberFormat="1" applyBorder="1" applyAlignment="1">
      <alignment horizontal="center"/>
    </xf>
    <xf numFmtId="0" fontId="8" fillId="0" borderId="8" xfId="3" applyBorder="1"/>
    <xf numFmtId="0" fontId="13" fillId="0" borderId="2" xfId="3" applyFont="1" applyBorder="1"/>
    <xf numFmtId="0" fontId="8" fillId="0" borderId="11" xfId="3" applyBorder="1"/>
    <xf numFmtId="0" fontId="8" fillId="0" borderId="10" xfId="3" applyBorder="1"/>
    <xf numFmtId="0" fontId="8" fillId="0" borderId="13" xfId="3" applyBorder="1"/>
    <xf numFmtId="0" fontId="8" fillId="0" borderId="12" xfId="3" applyBorder="1"/>
    <xf numFmtId="164" fontId="8" fillId="2" borderId="0" xfId="5" applyFont="1" applyFill="1" applyBorder="1"/>
    <xf numFmtId="164" fontId="8" fillId="0" borderId="0" xfId="1" applyFont="1" applyBorder="1"/>
    <xf numFmtId="164" fontId="8" fillId="0" borderId="14" xfId="5" applyFont="1" applyBorder="1"/>
    <xf numFmtId="164" fontId="8" fillId="0" borderId="12" xfId="5" applyFont="1" applyBorder="1"/>
    <xf numFmtId="164" fontId="8" fillId="2" borderId="12" xfId="5" applyFont="1" applyFill="1" applyBorder="1"/>
    <xf numFmtId="0" fontId="8" fillId="0" borderId="14" xfId="3" applyBorder="1"/>
    <xf numFmtId="2" fontId="8" fillId="0" borderId="12" xfId="3" applyNumberFormat="1" applyBorder="1"/>
    <xf numFmtId="165" fontId="8" fillId="0" borderId="12" xfId="3" applyNumberFormat="1" applyBorder="1"/>
    <xf numFmtId="164" fontId="8" fillId="2" borderId="15" xfId="5" applyFont="1" applyFill="1" applyBorder="1"/>
    <xf numFmtId="165" fontId="8" fillId="0" borderId="16" xfId="3" applyNumberFormat="1" applyBorder="1"/>
    <xf numFmtId="164" fontId="7" fillId="3" borderId="9" xfId="5" applyFont="1" applyFill="1" applyBorder="1"/>
    <xf numFmtId="164" fontId="8" fillId="0" borderId="17" xfId="5" applyFont="1" applyBorder="1"/>
    <xf numFmtId="1" fontId="11" fillId="0" borderId="2" xfId="3" applyNumberFormat="1" applyFont="1" applyBorder="1"/>
    <xf numFmtId="14" fontId="8" fillId="0" borderId="7" xfId="0" applyNumberFormat="1" applyFont="1" applyBorder="1" applyAlignment="1">
      <alignment horizontal="center" vertical="center" wrapText="1"/>
    </xf>
    <xf numFmtId="0" fontId="7" fillId="0" borderId="7" xfId="3" applyFont="1" applyBorder="1" applyAlignment="1">
      <alignment horizontal="left"/>
    </xf>
    <xf numFmtId="0" fontId="7" fillId="0" borderId="7" xfId="3" applyFont="1" applyBorder="1"/>
    <xf numFmtId="1" fontId="8" fillId="0" borderId="7" xfId="3" applyNumberFormat="1" applyBorder="1" applyAlignment="1">
      <alignment horizontal="center"/>
    </xf>
    <xf numFmtId="0" fontId="8" fillId="0" borderId="7" xfId="3" applyBorder="1"/>
    <xf numFmtId="164" fontId="7" fillId="2" borderId="5" xfId="5" applyFont="1" applyFill="1" applyBorder="1"/>
    <xf numFmtId="164" fontId="8" fillId="0" borderId="6" xfId="5" applyFont="1" applyFill="1" applyBorder="1"/>
    <xf numFmtId="164" fontId="7" fillId="0" borderId="6" xfId="5" applyFont="1" applyFill="1" applyBorder="1"/>
    <xf numFmtId="2" fontId="8" fillId="0" borderId="6" xfId="3" applyNumberFormat="1" applyBorder="1"/>
    <xf numFmtId="164" fontId="8" fillId="2" borderId="16" xfId="5" applyFont="1" applyFill="1" applyBorder="1"/>
    <xf numFmtId="0" fontId="8" fillId="0" borderId="0" xfId="3" applyAlignment="1">
      <alignment horizontal="left" wrapText="1"/>
    </xf>
    <xf numFmtId="0" fontId="12" fillId="0" borderId="2" xfId="3" applyFont="1" applyBorder="1" applyAlignment="1">
      <alignment horizontal="center" wrapText="1"/>
    </xf>
    <xf numFmtId="0" fontId="12" fillId="0" borderId="2" xfId="3" applyFont="1" applyBorder="1" applyAlignment="1">
      <alignment horizontal="center" vertical="center" wrapText="1"/>
    </xf>
    <xf numFmtId="0" fontId="8" fillId="0" borderId="0" xfId="3" applyAlignment="1">
      <alignment horizontal="right"/>
    </xf>
  </cellXfs>
  <cellStyles count="15">
    <cellStyle name="Comma" xfId="2" builtinId="3"/>
    <cellStyle name="Currency" xfId="1" builtinId="4"/>
    <cellStyle name="Millares 2" xfId="4" xr:uid="{00000000-0005-0000-0000-000002000000}"/>
    <cellStyle name="Moneda 2" xfId="5" xr:uid="{00000000-0005-0000-0000-000004000000}"/>
    <cellStyle name="Moneda 3" xfId="8" xr:uid="{5FF720F6-E54A-4003-977A-AE1B3FA229AF}"/>
    <cellStyle name="Normal" xfId="0" builtinId="0"/>
    <cellStyle name="Normal 10" xfId="14" xr:uid="{3ECDDD8B-6713-496F-8C30-DA3BB04B5DD8}"/>
    <cellStyle name="Normal 2" xfId="3" xr:uid="{00000000-0005-0000-0000-000007000000}"/>
    <cellStyle name="Normal 3" xfId="7" xr:uid="{F2F70901-2EAB-43F1-9609-259C703235BF}"/>
    <cellStyle name="Normal 4" xfId="9" xr:uid="{46A9434B-CB25-4E6F-904E-5BC494A56118}"/>
    <cellStyle name="Normal 5" xfId="10" xr:uid="{679E12F2-B9F2-4C49-A16F-C0E6BCAF1420}"/>
    <cellStyle name="Normal 6" xfId="6" xr:uid="{00000000-0005-0000-0000-000008000000}"/>
    <cellStyle name="Normal 7" xfId="11" xr:uid="{AF29CE2C-5C70-4BDB-9C04-98ACD1ECC932}"/>
    <cellStyle name="Normal 8" xfId="12" xr:uid="{B3FC853E-42E4-4E92-A080-C870B0261A73}"/>
    <cellStyle name="Normal 9" xfId="13" xr:uid="{8B411A6A-EC3D-4DDF-9A10-AD2274AE506E}"/>
  </cellStyles>
  <dxfs count="0"/>
  <tableStyles count="0" defaultTableStyle="TableStyleMedium2" defaultPivotStyle="PivotStyleLight16"/>
  <colors>
    <mruColors>
      <color rgb="FFE1E6FF"/>
      <color rgb="FFFF5050"/>
      <color rgb="FFFDFAE7"/>
      <color rgb="FFFFCCCC"/>
      <color rgb="FFCC0000"/>
      <color rgb="FFFF9999"/>
      <color rgb="FFFFDEC5"/>
      <color rgb="FFE6F2EA"/>
      <color rgb="FFFDFDFD"/>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0070C0"/>
    <pageSetUpPr fitToPage="1"/>
  </sheetPr>
  <dimension ref="B5:H53"/>
  <sheetViews>
    <sheetView showGridLines="0" tabSelected="1" view="pageBreakPreview" zoomScale="130" zoomScaleNormal="115" zoomScaleSheetLayoutView="130" workbookViewId="0">
      <selection activeCell="J21" sqref="J21"/>
    </sheetView>
  </sheetViews>
  <sheetFormatPr defaultColWidth="11.42578125" defaultRowHeight="12.75" x14ac:dyDescent="0.2"/>
  <cols>
    <col min="1" max="1" width="2.85546875" style="1" customWidth="1"/>
    <col min="2" max="2" width="15.28515625" style="1" customWidth="1"/>
    <col min="3" max="3" width="12.5703125" style="1" bestFit="1" customWidth="1"/>
    <col min="4" max="5" width="17" style="1" customWidth="1"/>
    <col min="6" max="6" width="14.28515625" style="1" customWidth="1"/>
    <col min="7" max="7" width="12.28515625" style="1" bestFit="1" customWidth="1"/>
    <col min="8" max="8" width="8.5703125" style="1" customWidth="1"/>
    <col min="9" max="16384" width="11.42578125" style="1"/>
  </cols>
  <sheetData>
    <row r="5" spans="2:8" x14ac:dyDescent="0.2">
      <c r="B5" s="70" t="s">
        <v>24</v>
      </c>
      <c r="C5" s="70"/>
      <c r="D5" s="70"/>
      <c r="E5" s="70"/>
      <c r="F5" s="70"/>
      <c r="G5" s="70"/>
    </row>
    <row r="6" spans="2:8" ht="6.75" customHeight="1" x14ac:dyDescent="0.2"/>
    <row r="7" spans="2:8" x14ac:dyDescent="0.2">
      <c r="B7" s="3" t="s">
        <v>12</v>
      </c>
      <c r="C7" s="26" t="e">
        <f>+#REF!</f>
        <v>#REF!</v>
      </c>
      <c r="D7" s="26"/>
      <c r="E7" s="26"/>
      <c r="F7" s="26"/>
      <c r="G7" s="26"/>
    </row>
    <row r="8" spans="2:8" ht="6" customHeight="1" x14ac:dyDescent="0.2"/>
    <row r="9" spans="2:8" ht="12.75" customHeight="1" x14ac:dyDescent="0.2">
      <c r="B9" s="67" t="s">
        <v>18</v>
      </c>
      <c r="C9" s="67"/>
      <c r="D9" s="67"/>
      <c r="E9" s="67"/>
      <c r="F9" s="67"/>
      <c r="G9" s="67"/>
      <c r="H9" s="5"/>
    </row>
    <row r="10" spans="2:8" x14ac:dyDescent="0.2">
      <c r="B10" s="67"/>
      <c r="C10" s="67"/>
      <c r="D10" s="67"/>
      <c r="E10" s="67"/>
      <c r="F10" s="67"/>
      <c r="G10" s="67"/>
    </row>
    <row r="11" spans="2:8" x14ac:dyDescent="0.2">
      <c r="B11" s="67"/>
      <c r="C11" s="67"/>
      <c r="D11" s="67"/>
      <c r="E11" s="67"/>
      <c r="F11" s="67"/>
      <c r="G11" s="67"/>
    </row>
    <row r="12" spans="2:8" x14ac:dyDescent="0.2">
      <c r="D12" s="3"/>
      <c r="E12" s="3"/>
    </row>
    <row r="13" spans="2:8" x14ac:dyDescent="0.2">
      <c r="B13" s="1" t="s">
        <v>5</v>
      </c>
      <c r="C13" s="11" t="e">
        <f>+G36</f>
        <v>#REF!</v>
      </c>
      <c r="D13" s="27" t="s">
        <v>26</v>
      </c>
      <c r="E13" s="27"/>
      <c r="F13" s="27"/>
      <c r="G13" s="27"/>
    </row>
    <row r="14" spans="2:8" x14ac:dyDescent="0.2">
      <c r="B14" s="6"/>
    </row>
    <row r="16" spans="2:8" x14ac:dyDescent="0.2">
      <c r="B16" s="3" t="s">
        <v>13</v>
      </c>
    </row>
    <row r="17" spans="2:8" x14ac:dyDescent="0.2">
      <c r="B17" s="3" t="s">
        <v>14</v>
      </c>
      <c r="D17" s="24"/>
      <c r="E17" s="24" t="s">
        <v>25</v>
      </c>
      <c r="F17" s="24"/>
      <c r="G17" s="25"/>
    </row>
    <row r="19" spans="2:8" x14ac:dyDescent="0.2">
      <c r="B19" s="35" t="s">
        <v>15</v>
      </c>
      <c r="C19" s="33" t="e">
        <f>+#REF!/7</f>
        <v>#REF!</v>
      </c>
      <c r="F19" s="68" t="s">
        <v>11</v>
      </c>
      <c r="G19" s="69" t="s">
        <v>16</v>
      </c>
    </row>
    <row r="20" spans="2:8" x14ac:dyDescent="0.2">
      <c r="B20" s="35" t="s">
        <v>6</v>
      </c>
      <c r="C20" s="36" t="e">
        <f>+#REF!</f>
        <v>#REF!</v>
      </c>
      <c r="D20" s="14"/>
      <c r="E20" s="13"/>
      <c r="F20" s="68"/>
      <c r="G20" s="69"/>
      <c r="H20" s="22"/>
    </row>
    <row r="21" spans="2:8" x14ac:dyDescent="0.2">
      <c r="B21" s="35" t="s">
        <v>4</v>
      </c>
      <c r="C21" s="36">
        <v>46178</v>
      </c>
      <c r="D21" s="23"/>
      <c r="E21" s="15"/>
      <c r="F21" s="29" t="e">
        <f>+C21-C20+1</f>
        <v>#REF!</v>
      </c>
      <c r="G21" s="56" t="e">
        <f>+C21-C20+1</f>
        <v>#REF!</v>
      </c>
      <c r="H21" s="16"/>
    </row>
    <row r="22" spans="2:8" x14ac:dyDescent="0.2">
      <c r="B22" s="58"/>
      <c r="C22" s="57"/>
      <c r="D22" s="14"/>
      <c r="E22" s="7"/>
      <c r="F22" s="39">
        <f>12/365</f>
        <v>3.287671232876712E-2</v>
      </c>
      <c r="G22" s="39">
        <f>15/365</f>
        <v>4.1095890410958902E-2</v>
      </c>
    </row>
    <row r="23" spans="2:8" x14ac:dyDescent="0.2">
      <c r="B23" s="34" t="s">
        <v>7</v>
      </c>
      <c r="C23" s="37" t="e">
        <f>+C21-C20+1</f>
        <v>#REF!</v>
      </c>
      <c r="D23" s="31" t="s">
        <v>8</v>
      </c>
      <c r="E23" s="18"/>
      <c r="F23" s="30" t="e">
        <f>+F22*F21</f>
        <v>#REF!</v>
      </c>
      <c r="G23" s="30" t="e">
        <f>+G22*G21</f>
        <v>#REF!</v>
      </c>
      <c r="H23" s="21"/>
    </row>
    <row r="24" spans="2:8" x14ac:dyDescent="0.2">
      <c r="B24" s="59"/>
      <c r="C24" s="60"/>
      <c r="D24" s="61"/>
    </row>
    <row r="26" spans="2:8" x14ac:dyDescent="0.2">
      <c r="F26" s="38" t="s">
        <v>8</v>
      </c>
      <c r="G26" s="31" t="s">
        <v>3</v>
      </c>
      <c r="H26" s="16"/>
    </row>
    <row r="27" spans="2:8" x14ac:dyDescent="0.2">
      <c r="B27" s="40" t="s">
        <v>0</v>
      </c>
      <c r="C27" s="40"/>
      <c r="D27" s="40"/>
      <c r="E27" s="41"/>
      <c r="F27" s="49">
        <v>1.1000000000000001</v>
      </c>
      <c r="G27" s="46" t="e">
        <f>+F27*C19</f>
        <v>#REF!</v>
      </c>
      <c r="H27" s="11"/>
    </row>
    <row r="28" spans="2:8" x14ac:dyDescent="0.2">
      <c r="B28" s="42" t="s">
        <v>9</v>
      </c>
      <c r="C28" s="42"/>
      <c r="D28" s="42"/>
      <c r="E28" s="43"/>
      <c r="F28" s="50">
        <f>+F27*0.16666666666</f>
        <v>0.18333333332599999</v>
      </c>
      <c r="G28" s="47" t="e">
        <f>+G27*0.16666666</f>
        <v>#REF!</v>
      </c>
      <c r="H28" s="16"/>
    </row>
    <row r="29" spans="2:8" x14ac:dyDescent="0.2">
      <c r="B29" s="42" t="s">
        <v>2</v>
      </c>
      <c r="C29" s="42"/>
      <c r="D29" s="42"/>
      <c r="E29" s="43"/>
      <c r="F29" s="50" t="e">
        <f>+G23</f>
        <v>#REF!</v>
      </c>
      <c r="G29" s="48" t="e">
        <f>+F29*C19</f>
        <v>#REF!</v>
      </c>
      <c r="H29" s="12"/>
    </row>
    <row r="30" spans="2:8" x14ac:dyDescent="0.2">
      <c r="B30" s="42" t="s">
        <v>20</v>
      </c>
      <c r="C30" s="42"/>
      <c r="D30" s="42"/>
      <c r="E30" s="43"/>
      <c r="F30" s="51" t="e">
        <f>+F23</f>
        <v>#REF!</v>
      </c>
      <c r="G30" s="48" t="e">
        <f>+C19*F30</f>
        <v>#REF!</v>
      </c>
      <c r="H30" s="16"/>
    </row>
    <row r="31" spans="2:8" x14ac:dyDescent="0.2">
      <c r="B31" s="42" t="s">
        <v>10</v>
      </c>
      <c r="C31" s="42"/>
      <c r="D31" s="42"/>
      <c r="E31" s="43"/>
      <c r="F31" s="53" t="e">
        <f>+F30*0.25</f>
        <v>#REF!</v>
      </c>
      <c r="G31" s="52" t="e">
        <f>+G30*0.25</f>
        <v>#REF!</v>
      </c>
      <c r="H31" s="16"/>
    </row>
    <row r="32" spans="2:8" x14ac:dyDescent="0.2">
      <c r="B32" s="42" t="s">
        <v>23</v>
      </c>
      <c r="C32" s="42"/>
      <c r="D32" s="42"/>
      <c r="E32" s="43"/>
      <c r="F32" s="53"/>
      <c r="G32" s="66">
        <v>-53</v>
      </c>
      <c r="H32" s="16"/>
    </row>
    <row r="33" spans="2:8" x14ac:dyDescent="0.2">
      <c r="G33" s="44"/>
      <c r="H33" s="16"/>
    </row>
    <row r="34" spans="2:8" ht="12.75" customHeight="1" x14ac:dyDescent="0.2">
      <c r="B34" s="67" t="s">
        <v>17</v>
      </c>
      <c r="C34" s="67"/>
      <c r="D34" s="67"/>
      <c r="E34" s="67"/>
      <c r="F34" s="31" t="s">
        <v>21</v>
      </c>
      <c r="G34" s="32">
        <v>975.2</v>
      </c>
      <c r="H34" s="16"/>
    </row>
    <row r="35" spans="2:8" ht="13.5" thickBot="1" x14ac:dyDescent="0.25">
      <c r="B35" s="67"/>
      <c r="C35" s="67"/>
      <c r="D35" s="67"/>
      <c r="E35" s="67"/>
      <c r="F35" s="31" t="s">
        <v>22</v>
      </c>
      <c r="G35" s="55" t="e">
        <f>+G36-G34</f>
        <v>#REF!</v>
      </c>
      <c r="H35" s="17"/>
    </row>
    <row r="36" spans="2:8" ht="13.5" thickTop="1" x14ac:dyDescent="0.2">
      <c r="B36" s="67"/>
      <c r="C36" s="67"/>
      <c r="D36" s="67"/>
      <c r="E36" s="67"/>
      <c r="F36" s="34" t="s">
        <v>1</v>
      </c>
      <c r="G36" s="54" t="e">
        <f>SUM(G27:G32)</f>
        <v>#REF!</v>
      </c>
      <c r="H36" s="11"/>
    </row>
    <row r="37" spans="2:8" x14ac:dyDescent="0.2">
      <c r="B37" s="67"/>
      <c r="C37" s="67"/>
      <c r="D37" s="67"/>
      <c r="E37" s="67"/>
      <c r="G37" s="45"/>
    </row>
    <row r="38" spans="2:8" ht="13.5" thickBot="1" x14ac:dyDescent="0.25">
      <c r="B38" s="67"/>
      <c r="C38" s="67"/>
      <c r="D38" s="67"/>
      <c r="E38" s="67"/>
      <c r="G38" s="44"/>
    </row>
    <row r="39" spans="2:8" x14ac:dyDescent="0.2">
      <c r="B39" s="67"/>
      <c r="C39" s="67"/>
      <c r="D39" s="67"/>
      <c r="E39" s="67"/>
      <c r="F39" s="4"/>
      <c r="G39" s="62"/>
      <c r="H39" s="11"/>
    </row>
    <row r="40" spans="2:8" x14ac:dyDescent="0.2">
      <c r="B40" s="4"/>
      <c r="C40" s="4"/>
      <c r="D40" s="4"/>
      <c r="E40" s="4"/>
      <c r="G40" s="63"/>
      <c r="H40" s="20"/>
    </row>
    <row r="41" spans="2:8" x14ac:dyDescent="0.2">
      <c r="B41" s="4"/>
      <c r="C41" s="4"/>
      <c r="D41" s="4"/>
      <c r="E41" s="4"/>
      <c r="G41" s="63"/>
      <c r="H41" s="19"/>
    </row>
    <row r="42" spans="2:8" x14ac:dyDescent="0.2">
      <c r="B42" s="4"/>
      <c r="C42" s="4"/>
      <c r="D42" s="4"/>
      <c r="E42" s="4"/>
      <c r="F42" s="4"/>
      <c r="G42" s="64"/>
      <c r="H42" s="19"/>
    </row>
    <row r="43" spans="2:8" x14ac:dyDescent="0.2">
      <c r="G43" s="65"/>
      <c r="H43" s="20"/>
    </row>
    <row r="44" spans="2:8" x14ac:dyDescent="0.2">
      <c r="G44" s="9"/>
    </row>
    <row r="45" spans="2:8" ht="12.75" customHeight="1" thickBot="1" x14ac:dyDescent="0.25">
      <c r="B45" s="28"/>
      <c r="C45" s="28"/>
      <c r="D45" s="28"/>
      <c r="E45" s="28"/>
      <c r="G45" s="10"/>
    </row>
    <row r="46" spans="2:8" ht="13.5" thickBot="1" x14ac:dyDescent="0.25">
      <c r="B46" s="8"/>
      <c r="C46" s="8"/>
      <c r="D46" s="8"/>
      <c r="H46" s="5"/>
    </row>
    <row r="47" spans="2:8" x14ac:dyDescent="0.2">
      <c r="C47" s="2" t="e">
        <f>+C7</f>
        <v>#REF!</v>
      </c>
      <c r="G47" s="2" t="s">
        <v>19</v>
      </c>
    </row>
    <row r="48" spans="2:8" x14ac:dyDescent="0.2">
      <c r="B48" s="28"/>
      <c r="C48" s="28"/>
      <c r="D48" s="28"/>
      <c r="E48" s="28"/>
      <c r="H48" s="17"/>
    </row>
    <row r="49" spans="2:8" x14ac:dyDescent="0.2">
      <c r="B49" s="28"/>
      <c r="C49" s="28"/>
      <c r="D49" s="28"/>
      <c r="E49" s="28"/>
      <c r="H49" s="17"/>
    </row>
    <row r="50" spans="2:8" x14ac:dyDescent="0.2">
      <c r="H50" s="45"/>
    </row>
    <row r="51" spans="2:8" x14ac:dyDescent="0.2">
      <c r="H51" s="45"/>
    </row>
    <row r="53" spans="2:8" x14ac:dyDescent="0.2">
      <c r="C53" s="2"/>
      <c r="G53" s="2"/>
    </row>
  </sheetData>
  <mergeCells count="5">
    <mergeCell ref="B34:E39"/>
    <mergeCell ref="B5:G5"/>
    <mergeCell ref="F19:F20"/>
    <mergeCell ref="G19:G20"/>
    <mergeCell ref="B9:G11"/>
  </mergeCells>
  <pageMargins left="0.25" right="0.25" top="0.75" bottom="0.75" header="0.3" footer="0.3"/>
  <pageSetup fitToWidth="0"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FINIQUITOS</vt:lpstr>
      <vt:lpstr>FINIQUITOS!Print_Area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LOZA</dc:creator>
  <cp:lastModifiedBy>Alejandro Avila</cp:lastModifiedBy>
  <cp:lastPrinted>2026-06-08T16:19:56Z</cp:lastPrinted>
  <dcterms:created xsi:type="dcterms:W3CDTF">2005-09-01T20:47:11Z</dcterms:created>
  <dcterms:modified xsi:type="dcterms:W3CDTF">2026-06-11T15:15:29Z</dcterms:modified>
</cp:coreProperties>
</file>